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atri\classes\ece455\pcb\MEJ2D1209SC converter\bom\"/>
    </mc:Choice>
  </mc:AlternateContent>
  <xr:revisionPtr revIDLastSave="0" documentId="13_ncr:1_{40914774-25E9-4F21-A3EB-44EAAA4948C7}" xr6:coauthVersionLast="47" xr6:coauthVersionMax="47" xr10:uidLastSave="{00000000-0000-0000-0000-000000000000}"/>
  <bookViews>
    <workbookView xWindow="-11364" yWindow="25812" windowWidth="23256" windowHeight="13176" xr2:uid="{00000000-000D-0000-FFFF-FFFF00000000}"/>
  </bookViews>
  <sheets>
    <sheet name="BOM" sheetId="1" r:id="rId1"/>
  </sheets>
  <definedNames>
    <definedName name="_xlnm._FilterDatabase" localSheetId="0" hidden="1">BOM!$A$4:$F$28</definedName>
    <definedName name="_xlnm.Print_Titles" localSheetId="0">BOM!$4:$4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1" i="1" l="1"/>
  <c r="C30" i="1"/>
</calcChain>
</file>

<file path=xl/sharedStrings.xml><?xml version="1.0" encoding="utf-8"?>
<sst xmlns="http://schemas.openxmlformats.org/spreadsheetml/2006/main" count="105" uniqueCount="105">
  <si>
    <t>Isolated ±5 V power board Rev B - bill of materials</t>
  </si>
  <si>
    <t>#</t>
  </si>
  <si>
    <t>References</t>
  </si>
  <si>
    <t>Qty</t>
  </si>
  <si>
    <t>Value</t>
  </si>
  <si>
    <t>Part number</t>
  </si>
  <si>
    <t>Digi-Key (qty 1)</t>
  </si>
  <si>
    <t>U1</t>
  </si>
  <si>
    <t>MEJ2D1209SC</t>
  </si>
  <si>
    <t>MEJ2D1209SC (Murata)</t>
  </si>
  <si>
    <t>811-2407-ND</t>
  </si>
  <si>
    <t>U2</t>
  </si>
  <si>
    <t>LT3045</t>
  </si>
  <si>
    <t>LT3045EMSE#PBF (Analog Devices)</t>
  </si>
  <si>
    <t>505-LT3045EMSE#PBF-ND (tube, sold from 1)</t>
  </si>
  <si>
    <t>U3</t>
  </si>
  <si>
    <t>LT3094</t>
  </si>
  <si>
    <t>LT3094EMSE#PBF (Analog Devices)</t>
  </si>
  <si>
    <t>505-LT3094EMSE#PBF-ND (tube, sold from 1)</t>
  </si>
  <si>
    <t>D1</t>
  </si>
  <si>
    <t>SMAJ15A</t>
  </si>
  <si>
    <t>SMAJ15A (Littelfuse)</t>
  </si>
  <si>
    <t>SMAJ15ALFCT-ND</t>
  </si>
  <si>
    <t>LED1, LED2, LED3</t>
  </si>
  <si>
    <t>Green</t>
  </si>
  <si>
    <t>LTST-C170KGKT (Lite-On)</t>
  </si>
  <si>
    <t>160-1414-1-ND</t>
  </si>
  <si>
    <t>C1</t>
  </si>
  <si>
    <t>47u/50V alu</t>
  </si>
  <si>
    <t>865080645012 (Würth Elektronik)</t>
  </si>
  <si>
    <t>732-8457-1-ND</t>
  </si>
  <si>
    <t>C2, C11, C13</t>
  </si>
  <si>
    <t>4.7u/25V</t>
  </si>
  <si>
    <t>GRM31CR71E475KA88L (Murata)</t>
  </si>
  <si>
    <t>490-1809-1-ND</t>
  </si>
  <si>
    <t>C3, C4</t>
  </si>
  <si>
    <t>1u/25V</t>
  </si>
  <si>
    <t>GRM21BR71E105KA99L (Murata)</t>
  </si>
  <si>
    <t>490-6484-1-ND</t>
  </si>
  <si>
    <t>C5, C6</t>
  </si>
  <si>
    <t>10u/16V</t>
  </si>
  <si>
    <t>C1206C106K4RAC7215 (KEMET)</t>
  </si>
  <si>
    <t>399-C1206C106K4RAC7215CT-ND</t>
  </si>
  <si>
    <t>C7, C8, C9</t>
  </si>
  <si>
    <t>22u/25V alu</t>
  </si>
  <si>
    <t>UCL1E220MCL1GS (Nichicon)</t>
  </si>
  <si>
    <t>493-3932-1-ND</t>
  </si>
  <si>
    <t>C10, C12</t>
  </si>
  <si>
    <t>22u/25V X7R</t>
  </si>
  <si>
    <t>CL32B226KAJNNNE (Samsung)</t>
  </si>
  <si>
    <t>1276-3392-1-ND (backorder; or GRM32ER71E226KE15L, 490-5313-1-ND)</t>
  </si>
  <si>
    <t>L1</t>
  </si>
  <si>
    <t>10uH</t>
  </si>
  <si>
    <t>SRN4018-100M (Bourns)</t>
  </si>
  <si>
    <t>SRN4018-100MCT-ND</t>
  </si>
  <si>
    <t>L2, L3</t>
  </si>
  <si>
    <t>4.7uH</t>
  </si>
  <si>
    <t>SRN4018-4R7M (Bourns)</t>
  </si>
  <si>
    <t>SRN4018-4R7MCT-ND</t>
  </si>
  <si>
    <t>R1</t>
  </si>
  <si>
    <t>4.7k</t>
  </si>
  <si>
    <t>RC0805FR-074K7L (Yageo)</t>
  </si>
  <si>
    <t>311-4.70KCRCT-ND</t>
  </si>
  <si>
    <t>R2, R3</t>
  </si>
  <si>
    <t>1k</t>
  </si>
  <si>
    <t>RC0805FR-071KL (Yageo)</t>
  </si>
  <si>
    <t>311-1.00KCRCT-ND</t>
  </si>
  <si>
    <t>R4</t>
  </si>
  <si>
    <t>0.47</t>
  </si>
  <si>
    <t>ERJ-6RQFR47V (Panasonic)</t>
  </si>
  <si>
    <t>P.47DCT-ND</t>
  </si>
  <si>
    <t>R5, R9</t>
  </si>
  <si>
    <t>49.9k 0.1%</t>
  </si>
  <si>
    <t>ERA-6AEB4992V (Panasonic)</t>
  </si>
  <si>
    <t>P49.9KDACT-ND</t>
  </si>
  <si>
    <t>R6</t>
  </si>
  <si>
    <t>499</t>
  </si>
  <si>
    <t>RC0805FR-07499RL (Yageo)</t>
  </si>
  <si>
    <t>311-499CRCT-ND</t>
  </si>
  <si>
    <t>R10</t>
  </si>
  <si>
    <t>3.74k</t>
  </si>
  <si>
    <t>RC0805FR-073K74L (Yageo)</t>
  </si>
  <si>
    <t>311-3.74KCRCT-ND</t>
  </si>
  <si>
    <t>R13</t>
  </si>
  <si>
    <t>100k</t>
  </si>
  <si>
    <t>RC0805FR-07100KL (Yageo)</t>
  </si>
  <si>
    <t>311-100KCRCT-ND</t>
  </si>
  <si>
    <t>F1</t>
  </si>
  <si>
    <t>0.5A PTC</t>
  </si>
  <si>
    <t>SMDH1206B050TF (Yageo)</t>
  </si>
  <si>
    <t>13-SMDH1206B050TFCT-ND</t>
  </si>
  <si>
    <t>J1</t>
  </si>
  <si>
    <t>12V IN</t>
  </si>
  <si>
    <t>1729128 (Phoenix Contact)</t>
  </si>
  <si>
    <t>277-1247-ND</t>
  </si>
  <si>
    <t>J2</t>
  </si>
  <si>
    <t>±5V OUT</t>
  </si>
  <si>
    <t>1729131 (Phoenix Contact)</t>
  </si>
  <si>
    <t>277-1248-ND</t>
  </si>
  <si>
    <t>TP1-TP7</t>
  </si>
  <si>
    <t>VIN_MOD / GND / +5V / ISO_0V / -5V / +9V_F / -9V_F</t>
  </si>
  <si>
    <t>5010 (Keystone)</t>
  </si>
  <si>
    <t>36-5010-ND</t>
  </si>
  <si>
    <t>Line items</t>
  </si>
  <si>
    <t>Parts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</si>
</sst>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4"/>
      <color theme="1"/>
      <name val="Calibri"/>
      <family val="2"/>
      <scheme val="minor"/>
    </font>
    <font>
      <b/>
      <sz val="14"/>
      <color rgb="FFFFFFFF"/>
      <name val="Arial"/>
      <family val="2"/>
    </font>
    <font>
      <sz val="14"/>
      <name val="Arial"/>
      <family val="2"/>
    </font>
    <font>
      <i/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left" vertical="top" wrapText="1"/>
    </xf>
    <xf numFmtId="0" fontId="4" fillId="3" borderId="1" xfId="0" applyFont="1" applyFill="1" applyBorder="1" applyAlignment="1">
      <alignment horizontal="center" vertical="top"/>
    </xf>
    <xf numFmtId="0" fontId="4" fillId="3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2" fillId="0" borderId="0" xfId="0" applyFont="1" applyFill="1"/>
    <xf numFmtId="0" fontId="5" fillId="0" borderId="0" xfId="0" applyFont="1" applyAlignment="1">
      <alignment horizontal="left"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4"/>
  <sheetViews>
    <sheetView tabSelected="1" zoomScale="70" workbookViewId="0">
      <pane xSplit="2" ySplit="4" topLeftCell="C5" activePane="bottomRight" state="frozen"/>
      <selection pane="topRight"/>
      <selection pane="bottomLeft"/>
      <selection pane="bottomRight" activeCell="I8" sqref="I8"/>
    </sheetView>
  </sheetViews>
  <sheetFormatPr defaultColWidth="7.6640625" defaultRowHeight="18" x14ac:dyDescent="0.35"/>
  <cols>
    <col min="1" max="1" width="63.5546875" style="3" customWidth="1"/>
    <col min="2" max="2" width="18.6640625" style="3" bestFit="1" customWidth="1"/>
    <col min="3" max="3" width="11.88671875" style="3" bestFit="1" customWidth="1"/>
    <col min="4" max="4" width="24.33203125" style="3" bestFit="1" customWidth="1"/>
    <col min="5" max="5" width="22.77734375" style="3" bestFit="1" customWidth="1"/>
    <col min="6" max="6" width="35.77734375" style="3" bestFit="1" customWidth="1"/>
    <col min="7" max="16384" width="7.6640625" style="3"/>
  </cols>
  <sheetData>
    <row r="1" spans="1:6" x14ac:dyDescent="0.35">
      <c r="A1" s="1" t="s">
        <v>0</v>
      </c>
    </row>
    <row r="4" spans="1:6" ht="34.799999999999997" x14ac:dyDescent="0.35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</row>
    <row r="5" spans="1:6" ht="34.799999999999997" x14ac:dyDescent="0.35">
      <c r="A5" s="5">
        <v>1</v>
      </c>
      <c r="B5" s="6" t="s">
        <v>7</v>
      </c>
      <c r="C5" s="5">
        <v>1</v>
      </c>
      <c r="D5" s="6" t="s">
        <v>8</v>
      </c>
      <c r="E5" s="9" t="s">
        <v>9</v>
      </c>
      <c r="F5" s="6" t="s">
        <v>10</v>
      </c>
    </row>
    <row r="6" spans="1:6" ht="69.599999999999994" x14ac:dyDescent="0.35">
      <c r="A6" s="7">
        <v>2</v>
      </c>
      <c r="B6" s="8" t="s">
        <v>11</v>
      </c>
      <c r="C6" s="7">
        <v>1</v>
      </c>
      <c r="D6" s="8" t="s">
        <v>12</v>
      </c>
      <c r="E6" s="8" t="s">
        <v>13</v>
      </c>
      <c r="F6" s="8" t="s">
        <v>14</v>
      </c>
    </row>
    <row r="7" spans="1:6" ht="69.599999999999994" x14ac:dyDescent="0.35">
      <c r="A7" s="5">
        <v>3</v>
      </c>
      <c r="B7" s="6" t="s">
        <v>15</v>
      </c>
      <c r="C7" s="5">
        <v>1</v>
      </c>
      <c r="D7" s="6" t="s">
        <v>16</v>
      </c>
      <c r="E7" s="6" t="s">
        <v>17</v>
      </c>
      <c r="F7" s="6" t="s">
        <v>18</v>
      </c>
    </row>
    <row r="8" spans="1:6" ht="34.799999999999997" x14ac:dyDescent="0.35">
      <c r="A8" s="7">
        <v>4</v>
      </c>
      <c r="B8" s="8" t="s">
        <v>19</v>
      </c>
      <c r="C8" s="7">
        <v>1</v>
      </c>
      <c r="D8" s="8" t="s">
        <v>20</v>
      </c>
      <c r="E8" s="8" t="s">
        <v>21</v>
      </c>
      <c r="F8" s="8" t="s">
        <v>22</v>
      </c>
    </row>
    <row r="9" spans="1:6" ht="52.2" x14ac:dyDescent="0.35">
      <c r="A9" s="5">
        <v>5</v>
      </c>
      <c r="B9" s="6" t="s">
        <v>23</v>
      </c>
      <c r="C9" s="5">
        <v>3</v>
      </c>
      <c r="D9" s="6" t="s">
        <v>24</v>
      </c>
      <c r="E9" s="6" t="s">
        <v>25</v>
      </c>
      <c r="F9" s="6" t="s">
        <v>26</v>
      </c>
    </row>
    <row r="10" spans="1:6" ht="52.2" x14ac:dyDescent="0.35">
      <c r="A10" s="7">
        <v>6</v>
      </c>
      <c r="B10" s="8" t="s">
        <v>27</v>
      </c>
      <c r="C10" s="7">
        <v>1</v>
      </c>
      <c r="D10" s="8" t="s">
        <v>28</v>
      </c>
      <c r="E10" s="8" t="s">
        <v>29</v>
      </c>
      <c r="F10" s="8" t="s">
        <v>30</v>
      </c>
    </row>
    <row r="11" spans="1:6" ht="52.2" x14ac:dyDescent="0.35">
      <c r="A11" s="5">
        <v>7</v>
      </c>
      <c r="B11" s="6" t="s">
        <v>31</v>
      </c>
      <c r="C11" s="5">
        <v>3</v>
      </c>
      <c r="D11" s="6" t="s">
        <v>32</v>
      </c>
      <c r="E11" s="6" t="s">
        <v>33</v>
      </c>
      <c r="F11" s="6" t="s">
        <v>34</v>
      </c>
    </row>
    <row r="12" spans="1:6" ht="52.2" x14ac:dyDescent="0.35">
      <c r="A12" s="7">
        <v>8</v>
      </c>
      <c r="B12" s="8" t="s">
        <v>35</v>
      </c>
      <c r="C12" s="7">
        <v>2</v>
      </c>
      <c r="D12" s="8" t="s">
        <v>36</v>
      </c>
      <c r="E12" s="8" t="s">
        <v>37</v>
      </c>
      <c r="F12" s="8" t="s">
        <v>38</v>
      </c>
    </row>
    <row r="13" spans="1:6" ht="52.2" x14ac:dyDescent="0.35">
      <c r="A13" s="5">
        <v>9</v>
      </c>
      <c r="B13" s="6" t="s">
        <v>39</v>
      </c>
      <c r="C13" s="5">
        <v>2</v>
      </c>
      <c r="D13" s="6" t="s">
        <v>40</v>
      </c>
      <c r="E13" s="6" t="s">
        <v>41</v>
      </c>
      <c r="F13" s="6" t="s">
        <v>42</v>
      </c>
    </row>
    <row r="14" spans="1:6" ht="52.2" x14ac:dyDescent="0.35">
      <c r="A14" s="7">
        <v>10</v>
      </c>
      <c r="B14" s="8" t="s">
        <v>43</v>
      </c>
      <c r="C14" s="7">
        <v>3</v>
      </c>
      <c r="D14" s="8" t="s">
        <v>44</v>
      </c>
      <c r="E14" s="8" t="s">
        <v>45</v>
      </c>
      <c r="F14" s="8" t="s">
        <v>46</v>
      </c>
    </row>
    <row r="15" spans="1:6" ht="52.2" x14ac:dyDescent="0.35">
      <c r="A15" s="5">
        <v>11</v>
      </c>
      <c r="B15" s="6" t="s">
        <v>47</v>
      </c>
      <c r="C15" s="5">
        <v>2</v>
      </c>
      <c r="D15" s="6" t="s">
        <v>48</v>
      </c>
      <c r="E15" s="9" t="s">
        <v>49</v>
      </c>
      <c r="F15" s="6" t="s">
        <v>50</v>
      </c>
    </row>
    <row r="16" spans="1:6" ht="52.2" x14ac:dyDescent="0.35">
      <c r="A16" s="7">
        <v>12</v>
      </c>
      <c r="B16" s="8" t="s">
        <v>51</v>
      </c>
      <c r="C16" s="7">
        <v>1</v>
      </c>
      <c r="D16" s="8" t="s">
        <v>52</v>
      </c>
      <c r="E16" s="8" t="s">
        <v>53</v>
      </c>
      <c r="F16" s="8" t="s">
        <v>54</v>
      </c>
    </row>
    <row r="17" spans="1:6" ht="52.2" x14ac:dyDescent="0.35">
      <c r="A17" s="5">
        <v>13</v>
      </c>
      <c r="B17" s="6" t="s">
        <v>55</v>
      </c>
      <c r="C17" s="5">
        <v>2</v>
      </c>
      <c r="D17" s="6" t="s">
        <v>56</v>
      </c>
      <c r="E17" s="6" t="s">
        <v>57</v>
      </c>
      <c r="F17" s="6" t="s">
        <v>58</v>
      </c>
    </row>
    <row r="18" spans="1:6" ht="52.2" x14ac:dyDescent="0.35">
      <c r="A18" s="7">
        <v>14</v>
      </c>
      <c r="B18" s="8" t="s">
        <v>59</v>
      </c>
      <c r="C18" s="7">
        <v>1</v>
      </c>
      <c r="D18" s="8" t="s">
        <v>60</v>
      </c>
      <c r="E18" s="8" t="s">
        <v>61</v>
      </c>
      <c r="F18" s="8" t="s">
        <v>62</v>
      </c>
    </row>
    <row r="19" spans="1:6" ht="52.2" x14ac:dyDescent="0.35">
      <c r="A19" s="5">
        <v>15</v>
      </c>
      <c r="B19" s="6" t="s">
        <v>63</v>
      </c>
      <c r="C19" s="5">
        <v>2</v>
      </c>
      <c r="D19" s="6" t="s">
        <v>64</v>
      </c>
      <c r="E19" s="6" t="s">
        <v>65</v>
      </c>
      <c r="F19" s="6" t="s">
        <v>66</v>
      </c>
    </row>
    <row r="20" spans="1:6" ht="52.2" x14ac:dyDescent="0.35">
      <c r="A20" s="7">
        <v>16</v>
      </c>
      <c r="B20" s="8" t="s">
        <v>67</v>
      </c>
      <c r="C20" s="7">
        <v>1</v>
      </c>
      <c r="D20" s="8" t="s">
        <v>68</v>
      </c>
      <c r="E20" s="8" t="s">
        <v>69</v>
      </c>
      <c r="F20" s="8" t="s">
        <v>70</v>
      </c>
    </row>
    <row r="21" spans="1:6" ht="52.2" x14ac:dyDescent="0.35">
      <c r="A21" s="5">
        <v>17</v>
      </c>
      <c r="B21" s="6" t="s">
        <v>71</v>
      </c>
      <c r="C21" s="5">
        <v>2</v>
      </c>
      <c r="D21" s="6" t="s">
        <v>72</v>
      </c>
      <c r="E21" s="9" t="s">
        <v>73</v>
      </c>
      <c r="F21" s="6" t="s">
        <v>74</v>
      </c>
    </row>
    <row r="22" spans="1:6" ht="52.2" x14ac:dyDescent="0.35">
      <c r="A22" s="7">
        <v>18</v>
      </c>
      <c r="B22" s="8" t="s">
        <v>75</v>
      </c>
      <c r="C22" s="7">
        <v>1</v>
      </c>
      <c r="D22" s="8" t="s">
        <v>76</v>
      </c>
      <c r="E22" s="9" t="s">
        <v>77</v>
      </c>
      <c r="F22" s="8" t="s">
        <v>78</v>
      </c>
    </row>
    <row r="23" spans="1:6" ht="52.2" x14ac:dyDescent="0.35">
      <c r="A23" s="5">
        <v>19</v>
      </c>
      <c r="B23" s="6" t="s">
        <v>79</v>
      </c>
      <c r="C23" s="5">
        <v>1</v>
      </c>
      <c r="D23" s="6" t="s">
        <v>80</v>
      </c>
      <c r="E23" s="9" t="s">
        <v>81</v>
      </c>
      <c r="F23" s="6" t="s">
        <v>82</v>
      </c>
    </row>
    <row r="24" spans="1:6" ht="52.2" x14ac:dyDescent="0.35">
      <c r="A24" s="7">
        <v>20</v>
      </c>
      <c r="B24" s="8" t="s">
        <v>83</v>
      </c>
      <c r="C24" s="7">
        <v>1</v>
      </c>
      <c r="D24" s="8" t="s">
        <v>84</v>
      </c>
      <c r="E24" s="8" t="s">
        <v>85</v>
      </c>
      <c r="F24" s="8" t="s">
        <v>86</v>
      </c>
    </row>
    <row r="25" spans="1:6" ht="52.2" x14ac:dyDescent="0.35">
      <c r="A25" s="5">
        <v>21</v>
      </c>
      <c r="B25" s="6" t="s">
        <v>87</v>
      </c>
      <c r="C25" s="5">
        <v>1</v>
      </c>
      <c r="D25" s="6" t="s">
        <v>88</v>
      </c>
      <c r="E25" s="6" t="s">
        <v>89</v>
      </c>
      <c r="F25" s="6" t="s">
        <v>90</v>
      </c>
    </row>
    <row r="26" spans="1:6" ht="52.2" x14ac:dyDescent="0.35">
      <c r="A26" s="7">
        <v>22</v>
      </c>
      <c r="B26" s="8" t="s">
        <v>91</v>
      </c>
      <c r="C26" s="7">
        <v>1</v>
      </c>
      <c r="D26" s="8" t="s">
        <v>92</v>
      </c>
      <c r="E26" s="8" t="s">
        <v>93</v>
      </c>
      <c r="F26" s="8" t="s">
        <v>94</v>
      </c>
    </row>
    <row r="27" spans="1:6" ht="52.2" x14ac:dyDescent="0.35">
      <c r="A27" s="5">
        <v>23</v>
      </c>
      <c r="B27" s="6" t="s">
        <v>95</v>
      </c>
      <c r="C27" s="5">
        <v>1</v>
      </c>
      <c r="D27" s="6" t="s">
        <v>96</v>
      </c>
      <c r="E27" s="6" t="s">
        <v>97</v>
      </c>
      <c r="F27" s="6" t="s">
        <v>98</v>
      </c>
    </row>
    <row r="28" spans="1:6" ht="52.2" x14ac:dyDescent="0.35">
      <c r="A28" s="7">
        <v>24</v>
      </c>
      <c r="B28" s="8" t="s">
        <v>99</v>
      </c>
      <c r="C28" s="7">
        <v>7</v>
      </c>
      <c r="D28" s="8" t="s">
        <v>100</v>
      </c>
      <c r="E28" s="8" t="s">
        <v>101</v>
      </c>
      <c r="F28" s="8" t="s">
        <v>102</v>
      </c>
    </row>
    <row r="30" spans="1:6" x14ac:dyDescent="0.35">
      <c r="B30" s="1" t="s">
        <v>103</v>
      </c>
      <c r="C30" s="2">
        <f>COUNTA(B5:B28)</f>
        <v>24</v>
      </c>
    </row>
    <row r="31" spans="1:6" x14ac:dyDescent="0.35">
      <c r="B31" s="1" t="s">
        <v>104</v>
      </c>
      <c r="C31" s="2">
        <f>SUM(C5:C28)</f>
        <v>42</v>
      </c>
    </row>
    <row r="33" spans="1:6" x14ac:dyDescent="0.35">
      <c r="A33" s="10"/>
      <c r="B33" s="11"/>
      <c r="C33" s="12"/>
      <c r="D33" s="12"/>
      <c r="E33" s="12"/>
      <c r="F33" s="12"/>
    </row>
    <row r="34" spans="1:6" x14ac:dyDescent="0.35">
      <c r="B34" s="11"/>
      <c r="C34" s="12"/>
      <c r="D34" s="12"/>
      <c r="E34" s="12"/>
      <c r="F34" s="12"/>
    </row>
  </sheetData>
  <autoFilter ref="A4:F28" xr:uid="{00000000-0009-0000-0000-000000000000}"/>
  <mergeCells count="2">
    <mergeCell ref="B34:F34"/>
    <mergeCell ref="B33:F33"/>
  </mergeCells>
  <pageMargins left="0.75" right="0.75" top="1" bottom="1" header="0.5" footer="0.5"/>
  <pageSetup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BOM</vt:lpstr>
      <vt:lpstr>BOM!Print_Titles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Isolated ±5 V power board Rev B - bill of materials</dc:title>
  <dc:creator>Patrick Muyenzi</dc:creator>
  <cp:lastModifiedBy>Patrick MUYENZI</cp:lastModifiedBy>
  <dcterms:created xsi:type="dcterms:W3CDTF">2026-10-16T17:28:11Z</dcterms:created>
  <dcterms:modified xsi:type="dcterms:W3CDTF">2026-10-17T19:14:44Z</dcterms:modified>
</cp:coreProperties>
</file>